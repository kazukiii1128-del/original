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OL1\(01) 개인별 자료\★해외사업팀\박사라\★국가별 수출\일본\02.Feb\생산팀\"/>
    </mc:Choice>
  </mc:AlternateContent>
  <xr:revisionPtr revIDLastSave="0" documentId="13_ncr:1_{E0A275E2-4FA6-4F05-BD5E-D635E675719E}" xr6:coauthVersionLast="47" xr6:coauthVersionMax="47" xr10:uidLastSave="{00000000-0000-0000-0000-000000000000}"/>
  <bookViews>
    <workbookView xWindow="28680" yWindow="-120" windowWidth="29040" windowHeight="15720" firstSheet="1" activeTab="1" xr2:uid="{CC21102D-E8A3-4B08-BC1C-C172BECE5B35}"/>
  </bookViews>
  <sheets>
    <sheet name="생산팀" sheetId="1" state="hidden" r:id="rId1"/>
    <sheet name="1차출고 (패킹리스트)" sheetId="4" r:id="rId2"/>
    <sheet name="2차출고 (패킹리스트)" sheetId="5" r:id="rId3"/>
  </sheets>
  <definedNames>
    <definedName name="_xlnm._FilterDatabase" localSheetId="2" hidden="1">'2차출고 (패킹리스트)'!$A$2:$J$12</definedName>
    <definedName name="_xlnm._FilterDatabase" localSheetId="0" hidden="1">생산팀!$A$3:$J$33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F15" i="5"/>
  <c r="H12" i="5" l="1"/>
  <c r="G12" i="5"/>
  <c r="H11" i="5"/>
  <c r="G11" i="5" s="1"/>
  <c r="H14" i="5"/>
  <c r="G14" i="5"/>
  <c r="H13" i="5"/>
  <c r="G13" i="5"/>
  <c r="H10" i="5"/>
  <c r="G10" i="5" s="1"/>
  <c r="H9" i="5"/>
  <c r="G9" i="5" s="1"/>
  <c r="H8" i="5"/>
  <c r="G8" i="5"/>
  <c r="H7" i="5"/>
  <c r="G7" i="5"/>
  <c r="H6" i="5"/>
  <c r="G6" i="5" s="1"/>
  <c r="H5" i="5"/>
  <c r="G5" i="5" s="1"/>
  <c r="H4" i="5"/>
  <c r="G4" i="5" s="1"/>
  <c r="H3" i="5"/>
  <c r="G3" i="5"/>
  <c r="H17" i="4"/>
  <c r="G17" i="4" s="1"/>
  <c r="H16" i="4"/>
  <c r="G16" i="4" s="1"/>
  <c r="H15" i="4"/>
  <c r="G15" i="4"/>
  <c r="H14" i="4"/>
  <c r="G14" i="4"/>
  <c r="H13" i="4"/>
  <c r="G13" i="4" s="1"/>
  <c r="H20" i="4"/>
  <c r="G20" i="4" s="1"/>
  <c r="H19" i="4"/>
  <c r="G19" i="4" s="1"/>
  <c r="H18" i="4"/>
  <c r="G18" i="4" s="1"/>
  <c r="H12" i="4"/>
  <c r="G12" i="4" s="1"/>
  <c r="H11" i="4"/>
  <c r="G11" i="4" s="1"/>
  <c r="H10" i="4"/>
  <c r="G10" i="4" s="1"/>
  <c r="H9" i="4"/>
  <c r="G9" i="4" s="1"/>
  <c r="H8" i="4"/>
  <c r="G8" i="4" s="1"/>
  <c r="H7" i="4"/>
  <c r="G7" i="4"/>
  <c r="H6" i="4"/>
  <c r="G6" i="4"/>
  <c r="H5" i="4"/>
  <c r="G5" i="4"/>
  <c r="H4" i="4"/>
  <c r="G4" i="4"/>
  <c r="H3" i="4"/>
  <c r="F34" i="1"/>
  <c r="H23" i="1"/>
  <c r="G23" i="1" s="1"/>
  <c r="H22" i="1"/>
  <c r="G22" i="1" s="1"/>
  <c r="H21" i="1"/>
  <c r="G21" i="1" s="1"/>
  <c r="H20" i="1"/>
  <c r="G20" i="1" s="1"/>
  <c r="H19" i="1"/>
  <c r="G19" i="1" s="1"/>
  <c r="H18" i="1"/>
  <c r="G18" i="1" s="1"/>
  <c r="H17" i="1"/>
  <c r="G17" i="1" s="1"/>
  <c r="H16" i="1"/>
  <c r="G16" i="1" s="1"/>
  <c r="H15" i="1"/>
  <c r="G15" i="1" s="1"/>
  <c r="H14" i="1"/>
  <c r="G14" i="1" s="1"/>
  <c r="H13" i="1"/>
  <c r="G13" i="1" s="1"/>
  <c r="H12" i="1"/>
  <c r="G12" i="1" s="1"/>
  <c r="H11" i="1"/>
  <c r="G11" i="1" s="1"/>
  <c r="H10" i="1"/>
  <c r="G10" i="1" s="1"/>
  <c r="H9" i="1"/>
  <c r="G9" i="1" s="1"/>
  <c r="H8" i="1"/>
  <c r="G8" i="1"/>
  <c r="H7" i="1"/>
  <c r="G7" i="1" s="1"/>
  <c r="H33" i="1"/>
  <c r="G33" i="1" s="1"/>
  <c r="H32" i="1"/>
  <c r="G32" i="1" s="1"/>
  <c r="H31" i="1"/>
  <c r="G31" i="1" s="1"/>
  <c r="H30" i="1"/>
  <c r="G30" i="1" s="1"/>
  <c r="H29" i="1"/>
  <c r="G29" i="1" s="1"/>
  <c r="H28" i="1"/>
  <c r="G28" i="1" s="1"/>
  <c r="H27" i="1"/>
  <c r="G27" i="1" s="1"/>
  <c r="H26" i="1"/>
  <c r="G26" i="1" s="1"/>
  <c r="H25" i="1"/>
  <c r="G25" i="1" s="1"/>
  <c r="H24" i="1"/>
  <c r="G24" i="1" s="1"/>
  <c r="H6" i="1"/>
  <c r="G6" i="1" s="1"/>
  <c r="H15" i="5" l="1"/>
  <c r="G15" i="5"/>
  <c r="H21" i="4"/>
  <c r="G3" i="4"/>
  <c r="G21" i="4" s="1"/>
  <c r="H5" i="1"/>
  <c r="G5" i="1" s="1"/>
  <c r="H4" i="1"/>
  <c r="G4" i="1" s="1"/>
  <c r="G34" i="1" l="1"/>
  <c r="H34" i="1"/>
</calcChain>
</file>

<file path=xl/sharedStrings.xml><?xml version="1.0" encoding="utf-8"?>
<sst xmlns="http://schemas.openxmlformats.org/spreadsheetml/2006/main" count="245" uniqueCount="92">
  <si>
    <r>
      <rPr>
        <b/>
        <sz val="22"/>
        <color rgb="FF000000"/>
        <rFont val="맑은 고딕"/>
        <family val="2"/>
        <charset val="129"/>
      </rPr>
      <t>일본</t>
    </r>
    <r>
      <rPr>
        <b/>
        <sz val="22"/>
        <color rgb="FF000000"/>
        <rFont val="Verdana"/>
        <family val="2"/>
      </rPr>
      <t xml:space="preserve"> / 2</t>
    </r>
    <r>
      <rPr>
        <b/>
        <sz val="22"/>
        <color rgb="FF000000"/>
        <rFont val="맑은 고딕"/>
        <family val="2"/>
        <charset val="129"/>
      </rPr>
      <t>월 1차 (</t>
    </r>
    <r>
      <rPr>
        <b/>
        <sz val="22"/>
        <color rgb="FF000000"/>
        <rFont val="Verdana"/>
        <family val="2"/>
      </rPr>
      <t>Little Finger USA Inc.)</t>
    </r>
    <phoneticPr fontId="5" type="noConversion"/>
  </si>
  <si>
    <r>
      <t xml:space="preserve">- </t>
    </r>
    <r>
      <rPr>
        <b/>
        <sz val="14"/>
        <color rgb="FFFF0000"/>
        <rFont val="맑은 고딕"/>
        <family val="2"/>
        <charset val="129"/>
      </rPr>
      <t>일본 첫 정규 발주 :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포워더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운송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계약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진행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중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Segoe UI"/>
        <family val="2"/>
        <charset val="1"/>
      </rPr>
      <t>→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파렛트</t>
    </r>
    <r>
      <rPr>
        <b/>
        <sz val="14"/>
        <color rgb="FFFF0000"/>
        <rFont val="Verdana"/>
        <family val="2"/>
      </rPr>
      <t>/</t>
    </r>
    <r>
      <rPr>
        <b/>
        <sz val="14"/>
        <color rgb="FFFF0000"/>
        <rFont val="맑은 고딕"/>
        <family val="2"/>
        <charset val="129"/>
      </rPr>
      <t>적재방법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계약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후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업데이트</t>
    </r>
    <r>
      <rPr>
        <b/>
        <sz val="14"/>
        <color rgb="FFFF0000"/>
        <rFont val="Verdana"/>
        <family val="2"/>
      </rPr>
      <t xml:space="preserve"> </t>
    </r>
    <r>
      <rPr>
        <b/>
        <sz val="14"/>
        <color rgb="FFFF0000"/>
        <rFont val="맑은 고딕"/>
        <family val="2"/>
        <charset val="129"/>
      </rPr>
      <t>예정</t>
    </r>
    <r>
      <rPr>
        <b/>
        <sz val="14"/>
        <color rgb="FFFF0000"/>
        <rFont val="Verdana"/>
        <family val="3"/>
      </rPr>
      <t xml:space="preserve">
- G</t>
    </r>
    <r>
      <rPr>
        <b/>
        <sz val="14"/>
        <color rgb="FFFF0000"/>
        <rFont val="맑은 고딕"/>
        <family val="3"/>
        <charset val="129"/>
      </rPr>
      <t>로고 빨대컵 : 현지 인증 진행 중 (인증 시점에 따라 출고일 변동)
- 라벨 부착: 빨대컵 바디 &amp; 패키지 용량 별 각각 별도 부착</t>
    </r>
    <phoneticPr fontId="5" type="noConversion"/>
  </si>
  <si>
    <t>NO</t>
  </si>
  <si>
    <t>Item Code</t>
  </si>
  <si>
    <t>Description</t>
  </si>
  <si>
    <t>Quantity</t>
  </si>
  <si>
    <t>Carton</t>
  </si>
  <si>
    <t>Order
Carton</t>
  </si>
  <si>
    <t>Order
Box</t>
  </si>
  <si>
    <t>Qty</t>
  </si>
  <si>
    <t xml:space="preserve">inner box </t>
  </si>
  <si>
    <t>inner QTY</t>
  </si>
  <si>
    <t>Rabel</t>
    <phoneticPr fontId="4" type="noConversion"/>
  </si>
  <si>
    <t>p160</t>
    <phoneticPr fontId="4" type="noConversion"/>
  </si>
  <si>
    <t>PPSU G-logo Straw Cup 200ml with Cap&amp;Ring(Aqua Green)</t>
    <phoneticPr fontId="4" type="noConversion"/>
  </si>
  <si>
    <t>O</t>
    <phoneticPr fontId="4" type="noConversion"/>
  </si>
  <si>
    <t>P064</t>
    <phoneticPr fontId="4" type="noConversion"/>
  </si>
  <si>
    <t>PPSU G-logo Straw Cup 200ml with Cap&amp;Ring(Pink)</t>
    <phoneticPr fontId="4" type="noConversion"/>
  </si>
  <si>
    <t>P066</t>
    <phoneticPr fontId="4" type="noConversion"/>
  </si>
  <si>
    <t>PPSU G-logo Straw Cup 200ml with Cap&amp;Ring(Sky Blue)</t>
    <phoneticPr fontId="4" type="noConversion"/>
  </si>
  <si>
    <t>GP2PS(Y)-2SC014</t>
    <phoneticPr fontId="4" type="noConversion"/>
  </si>
  <si>
    <t>PPSU G-logo Straw Cup 200ml with Cap&amp;Ring(Peach)</t>
    <phoneticPr fontId="4" type="noConversion"/>
  </si>
  <si>
    <t>GP2PS(Y)-2SC013</t>
    <phoneticPr fontId="4" type="noConversion"/>
  </si>
  <si>
    <t>PPSU G-logo Straw Cup 200ml with Cap&amp;Ring(Butter)</t>
    <phoneticPr fontId="4" type="noConversion"/>
  </si>
  <si>
    <t>p161</t>
    <phoneticPr fontId="4" type="noConversion"/>
  </si>
  <si>
    <t>PPSU G-logo Straw Cup 300ml with Cap&amp;Ring(Aqua Green)</t>
    <phoneticPr fontId="4" type="noConversion"/>
  </si>
  <si>
    <t>P070</t>
    <phoneticPr fontId="4" type="noConversion"/>
  </si>
  <si>
    <t>PPSU G-logo Straw Cup 300ml with Cap&amp;Ring(Pink)</t>
  </si>
  <si>
    <t>P072</t>
    <phoneticPr fontId="4" type="noConversion"/>
  </si>
  <si>
    <t>PPSU G-logo Straw Cup 300ml with Cap&amp;Ring(Sky Blue)</t>
  </si>
  <si>
    <t>GP2PS(Y)-3SC014</t>
    <phoneticPr fontId="4" type="noConversion"/>
  </si>
  <si>
    <t>PPSU G-logo Straw Cup 300ml with Cap&amp;Ring(Peach)</t>
    <phoneticPr fontId="4" type="noConversion"/>
  </si>
  <si>
    <t>GP2PS(Y)-3SC013</t>
    <phoneticPr fontId="4" type="noConversion"/>
  </si>
  <si>
    <t>PPSU G-logo Straw Cup 300ml with Cap&amp;Ring(Butter)</t>
    <phoneticPr fontId="4" type="noConversion"/>
  </si>
  <si>
    <t>P201</t>
    <phoneticPr fontId="4" type="noConversion"/>
  </si>
  <si>
    <t xml:space="preserve">PPSU Dark G-logo Straw Cup 200ml with Cap&amp;Ring(Charcoal) </t>
  </si>
  <si>
    <t>P199</t>
    <phoneticPr fontId="4" type="noConversion"/>
  </si>
  <si>
    <t xml:space="preserve">PPSU Dark G-logo Straw Cup 200ml with Cap&amp;Ring(White) </t>
  </si>
  <si>
    <t>P200</t>
    <phoneticPr fontId="4" type="noConversion"/>
  </si>
  <si>
    <t xml:space="preserve">PPSU Dark G-logo Straw Cup 200ml with Cap&amp;Ring(Cream Beige) </t>
  </si>
  <si>
    <t>P204</t>
    <phoneticPr fontId="4" type="noConversion"/>
  </si>
  <si>
    <t xml:space="preserve">PPSU Dark G-logo Straw Cup 300ml with Cap&amp;Ring(Charcoal) </t>
  </si>
  <si>
    <t>P202</t>
    <phoneticPr fontId="4" type="noConversion"/>
  </si>
  <si>
    <t xml:space="preserve">PPSU Dark G-logo Straw Cup 300ml with Cap&amp;Ring(White) </t>
  </si>
  <si>
    <t>P203</t>
    <phoneticPr fontId="4" type="noConversion"/>
  </si>
  <si>
    <t xml:space="preserve">PPSU Dark G-logo Straw Cup 300ml with Cap&amp;Ring(Cream Beige) </t>
  </si>
  <si>
    <t>GP2PS(U)-3SOSC2020</t>
  </si>
  <si>
    <t>PPSU Unicorn Straw CUP 300ml (w/Stage 2)</t>
    <phoneticPr fontId="5" type="noConversion"/>
  </si>
  <si>
    <t>GP2PS(DN)-3SOSC2019</t>
  </si>
  <si>
    <t>PPSU Dino Straw CUP 300ml (w/Stage 2)</t>
    <phoneticPr fontId="5" type="noConversion"/>
  </si>
  <si>
    <t>GP2ST(C)-2SSC214SFA</t>
  </si>
  <si>
    <t>Stainless Cherrish Straw Cup 200ml with Steel Free One-Touch Cap (Sweet Peach)w/Stage 2</t>
    <phoneticPr fontId="4" type="noConversion"/>
  </si>
  <si>
    <t>GP2ST(DG)-2SSC213SFA</t>
  </si>
  <si>
    <t>Stainless Dotgom Straw Cup 200ml with Steel Free One-Touch Cap (Butter)w/Stage 2</t>
    <phoneticPr fontId="4" type="noConversion"/>
  </si>
  <si>
    <t>GP2ST(O)-2SSC216SFA</t>
  </si>
  <si>
    <t>Stainless Olive Straw Cup 200ml with Steel Free One-Touch Cap (Pistachio)w/Stage 2</t>
    <phoneticPr fontId="4" type="noConversion"/>
  </si>
  <si>
    <t>GP2ST(S)-2OSSC217A</t>
  </si>
  <si>
    <t>Stainless Sky Balloon Straw Cup 200ml with Steel Free One Touch Cap(Creamy blue) w/Stage 2</t>
    <phoneticPr fontId="4" type="noConversion"/>
  </si>
  <si>
    <t>GP2ST(PF)-2OSSC218A</t>
  </si>
  <si>
    <t>Stainless Peach Flower Straw Cup 200ml With Steel Free One Touch Cap(Rose Coral)w/Stage 2</t>
    <phoneticPr fontId="4" type="noConversion"/>
  </si>
  <si>
    <t>GP2ST(C)-3SSC214SFA</t>
  </si>
  <si>
    <t>Stainless Cherrish Straw Cup 300ml with Steel Free One-Touch Cap (Sweet Peach)w/Stage 2</t>
    <phoneticPr fontId="4" type="noConversion"/>
  </si>
  <si>
    <t>GP2ST(DG)-3SSC213SFA</t>
  </si>
  <si>
    <t>Stainless Dotgom Straw Cup 300ml with Steel Free One-Touch Cap (Butter)w/Stage 2</t>
    <phoneticPr fontId="4" type="noConversion"/>
  </si>
  <si>
    <t>GP2ST(O)-3SSC216SFA</t>
  </si>
  <si>
    <t>Stainless Olive Straw Cup 300ml with Steel Free One-Touch Cap (Pistachio)w/Stage 2</t>
    <phoneticPr fontId="4" type="noConversion"/>
  </si>
  <si>
    <t>GP2ST(S)-3OSSC217A</t>
  </si>
  <si>
    <t>Stainless Sky Balloon Straw Cup 300ml with Steel Free One Touch Cap(Creamy blue) w/Stage 2</t>
    <phoneticPr fontId="4" type="noConversion"/>
  </si>
  <si>
    <t>GP2ST(PF)-3OSSC218A</t>
  </si>
  <si>
    <t>Stainless Peach Flower Straw Cup 300ml With Steel Free One Touch Cap(Rose Coral)w/Stage 2</t>
    <phoneticPr fontId="4" type="noConversion"/>
  </si>
  <si>
    <t>P148</t>
    <phoneticPr fontId="4" type="noConversion"/>
  </si>
  <si>
    <t xml:space="preserve">Replacement Straw Stage 2 (Twin pack) </t>
  </si>
  <si>
    <t>p148-01</t>
    <phoneticPr fontId="4" type="noConversion"/>
  </si>
  <si>
    <t xml:space="preserve">Silicone Straw nipple Stage 2 (4pcs) </t>
  </si>
  <si>
    <t>Total</t>
  </si>
  <si>
    <r>
      <rPr>
        <b/>
        <sz val="11"/>
        <color rgb="FF000000"/>
        <rFont val="맑은 고딕"/>
        <family val="2"/>
        <charset val="129"/>
      </rPr>
      <t>일본</t>
    </r>
    <r>
      <rPr>
        <b/>
        <sz val="11"/>
        <color rgb="FF000000"/>
        <rFont val="Verdana"/>
        <family val="2"/>
      </rPr>
      <t xml:space="preserve"> / 2</t>
    </r>
    <r>
      <rPr>
        <b/>
        <sz val="11"/>
        <color rgb="FF000000"/>
        <rFont val="맑은 고딕"/>
        <family val="2"/>
        <charset val="129"/>
      </rPr>
      <t>월</t>
    </r>
    <r>
      <rPr>
        <b/>
        <sz val="11"/>
        <color rgb="FF000000"/>
        <rFont val="Verdana"/>
        <family val="2"/>
      </rPr>
      <t xml:space="preserve"> 1</t>
    </r>
    <r>
      <rPr>
        <b/>
        <sz val="11"/>
        <color rgb="FF000000"/>
        <rFont val="맑은 고딕"/>
        <family val="2"/>
        <charset val="129"/>
      </rPr>
      <t>차</t>
    </r>
    <r>
      <rPr>
        <b/>
        <sz val="11"/>
        <color rgb="FF000000"/>
        <rFont val="Verdana"/>
        <family val="2"/>
      </rPr>
      <t xml:space="preserve"> (Little Finger USA Inc.)</t>
    </r>
    <phoneticPr fontId="5" type="noConversion"/>
  </si>
  <si>
    <t>CTN/No</t>
    <phoneticPr fontId="4" type="noConversion"/>
  </si>
  <si>
    <t>P/No</t>
    <phoneticPr fontId="4" type="noConversion"/>
  </si>
  <si>
    <t>Label</t>
    <phoneticPr fontId="4" type="noConversion"/>
  </si>
  <si>
    <t>5~6</t>
    <phoneticPr fontId="4" type="noConversion"/>
  </si>
  <si>
    <t>7~8</t>
    <phoneticPr fontId="4" type="noConversion"/>
  </si>
  <si>
    <t>9~10</t>
    <phoneticPr fontId="4" type="noConversion"/>
  </si>
  <si>
    <t>11~12</t>
    <phoneticPr fontId="4" type="noConversion"/>
  </si>
  <si>
    <t>15~16</t>
    <phoneticPr fontId="4" type="noConversion"/>
  </si>
  <si>
    <t>17~18</t>
    <phoneticPr fontId="4" type="noConversion"/>
  </si>
  <si>
    <t>19~20</t>
    <phoneticPr fontId="4" type="noConversion"/>
  </si>
  <si>
    <t>식판박스</t>
    <phoneticPr fontId="4" type="noConversion"/>
  </si>
  <si>
    <t>23~24</t>
    <phoneticPr fontId="4" type="noConversion"/>
  </si>
  <si>
    <t>25~26</t>
    <phoneticPr fontId="4" type="noConversion"/>
  </si>
  <si>
    <t>27~28</t>
    <phoneticPr fontId="4" type="noConversion"/>
  </si>
  <si>
    <r>
      <rPr>
        <b/>
        <sz val="11"/>
        <color rgb="FF000000"/>
        <rFont val="맑은 고딕"/>
        <family val="2"/>
        <charset val="129"/>
      </rPr>
      <t>일본</t>
    </r>
    <r>
      <rPr>
        <b/>
        <sz val="11"/>
        <color rgb="FF000000"/>
        <rFont val="Verdana"/>
        <family val="2"/>
      </rPr>
      <t xml:space="preserve"> / 2</t>
    </r>
    <r>
      <rPr>
        <b/>
        <sz val="11"/>
        <color rgb="FF000000"/>
        <rFont val="맑은 고딕"/>
        <family val="2"/>
        <charset val="129"/>
      </rPr>
      <t>월</t>
    </r>
    <r>
      <rPr>
        <b/>
        <sz val="11"/>
        <color rgb="FF000000"/>
        <rFont val="Verdana"/>
        <family val="2"/>
      </rPr>
      <t xml:space="preserve"> 2</t>
    </r>
    <r>
      <rPr>
        <b/>
        <sz val="11"/>
        <color rgb="FF000000"/>
        <rFont val="맑은 고딕"/>
        <family val="2"/>
        <charset val="129"/>
      </rPr>
      <t>차</t>
    </r>
    <r>
      <rPr>
        <b/>
        <sz val="11"/>
        <color rgb="FF000000"/>
        <rFont val="Verdana"/>
        <family val="2"/>
      </rPr>
      <t xml:space="preserve"> (Little Finger USA Inc.)</t>
    </r>
    <phoneticPr fontId="5" type="noConversion"/>
  </si>
  <si>
    <t>13~14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</si>
</sst>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&quot;/&quot;d;@"/>
    <numFmt numFmtId="177" formatCode="0_);[Red]\(0\)"/>
    <numFmt numFmtId="178" formatCode="#,##0_);[Red]\(#,##0\)"/>
  </numFmts>
  <fonts count="28"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2"/>
      <color rgb="FF000000"/>
      <name val="Verdana"/>
      <family val="2"/>
    </font>
    <font>
      <b/>
      <sz val="22"/>
      <color rgb="FF000000"/>
      <name val="맑은 고딕"/>
      <family val="2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FF0000"/>
      <name val="Verdana"/>
      <family val="2"/>
    </font>
    <font>
      <b/>
      <sz val="14"/>
      <color rgb="FFFF0000"/>
      <name val="맑은 고딕"/>
      <family val="2"/>
      <charset val="129"/>
    </font>
    <font>
      <b/>
      <sz val="14"/>
      <color rgb="FFFF0000"/>
      <name val="맑은 고딕"/>
      <family val="3"/>
      <charset val="129"/>
    </font>
    <font>
      <b/>
      <sz val="14"/>
      <color rgb="FFFF0000"/>
      <name val="Verdana"/>
      <family val="3"/>
    </font>
    <font>
      <b/>
      <sz val="22"/>
      <color rgb="FFFF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  <font>
      <sz val="10"/>
      <name val="Verdana"/>
      <family val="2"/>
    </font>
    <font>
      <b/>
      <sz val="10"/>
      <color rgb="FF002060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rgb="FF000000"/>
      <name val="Verdana"/>
      <family val="2"/>
      <charset val="129"/>
    </font>
    <font>
      <b/>
      <sz val="14"/>
      <color rgb="FFFF0000"/>
      <name val="Segoe UI"/>
      <family val="2"/>
      <charset val="1"/>
    </font>
    <font>
      <b/>
      <sz val="11"/>
      <color rgb="FF000000"/>
      <name val="Verdana"/>
      <family val="2"/>
    </font>
    <font>
      <b/>
      <sz val="11"/>
      <color rgb="FF000000"/>
      <name val="맑은 고딕"/>
      <family val="2"/>
      <charset val="129"/>
    </font>
    <font>
      <sz val="11"/>
      <color rgb="FF000000"/>
      <name val="Verdana"/>
      <family val="2"/>
    </font>
    <font>
      <b/>
      <sz val="11"/>
      <color rgb="FFFF0000"/>
      <name val="Verdana"/>
      <family val="2"/>
    </font>
    <font>
      <sz val="11"/>
      <name val="Verdana"/>
      <family val="2"/>
    </font>
    <font>
      <b/>
      <sz val="11"/>
      <color rgb="FF002060"/>
      <name val="Verdana"/>
      <family val="2"/>
    </font>
    <font>
      <b/>
      <sz val="11"/>
      <color rgb="FF000000"/>
      <name val="Verdana"/>
      <family val="2"/>
      <charset val="129"/>
    </font>
    <font>
      <b/>
      <sz val="11"/>
      <color rgb="FFFF0000"/>
      <name val="맑은 고딕"/>
      <family val="2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9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9FFE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16" fillId="0" borderId="0"/>
    <xf numFmtId="0" fontId="17" fillId="15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176" fontId="11" fillId="2" borderId="1" xfId="0" applyNumberFormat="1" applyFont="1" applyFill="1" applyBorder="1" applyAlignment="1">
      <alignment horizontal="center" vertical="center"/>
    </xf>
    <xf numFmtId="41" fontId="12" fillId="2" borderId="1" xfId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77" fontId="12" fillId="2" borderId="1" xfId="0" applyNumberFormat="1" applyFont="1" applyFill="1" applyBorder="1" applyAlignment="1">
      <alignment horizontal="center" vertical="center"/>
    </xf>
    <xf numFmtId="177" fontId="12" fillId="0" borderId="1" xfId="1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Continuous" vertical="center"/>
    </xf>
    <xf numFmtId="177" fontId="11" fillId="0" borderId="1" xfId="1" applyNumberFormat="1" applyFont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0" fillId="0" borderId="0" xfId="0" applyAlignment="1"/>
    <xf numFmtId="176" fontId="6" fillId="0" borderId="2" xfId="0" quotePrefix="1" applyNumberFormat="1" applyFont="1" applyBorder="1" applyAlignment="1">
      <alignment horizontal="centerContinuous" vertical="center" wrapText="1"/>
    </xf>
    <xf numFmtId="176" fontId="10" fillId="0" borderId="0" xfId="0" applyNumberFormat="1" applyFont="1" applyAlignment="1">
      <alignment horizontal="centerContinuous" vertical="center"/>
    </xf>
    <xf numFmtId="176" fontId="2" fillId="0" borderId="0" xfId="0" applyNumberFormat="1" applyFont="1" applyAlignment="1">
      <alignment horizontal="centerContinuous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6" fontId="18" fillId="0" borderId="0" xfId="0" applyNumberFormat="1" applyFont="1" applyAlignment="1">
      <alignment horizontal="centerContinuous" vertical="center"/>
    </xf>
    <xf numFmtId="0" fontId="14" fillId="0" borderId="1" xfId="0" applyFont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176" fontId="20" fillId="0" borderId="0" xfId="0" applyNumberFormat="1" applyFont="1" applyAlignment="1">
      <alignment horizontal="centerContinuous" vertical="center"/>
    </xf>
    <xf numFmtId="0" fontId="22" fillId="0" borderId="0" xfId="0" applyFont="1">
      <alignment vertical="center"/>
    </xf>
    <xf numFmtId="176" fontId="20" fillId="2" borderId="1" xfId="0" applyNumberFormat="1" applyFont="1" applyFill="1" applyBorder="1" applyAlignment="1">
      <alignment horizontal="center" vertical="center"/>
    </xf>
    <xf numFmtId="41" fontId="22" fillId="2" borderId="1" xfId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7" fontId="22" fillId="2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left" vertical="center"/>
    </xf>
    <xf numFmtId="177" fontId="22" fillId="0" borderId="1" xfId="1" applyNumberFormat="1" applyFont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24" fillId="16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176" fontId="20" fillId="0" borderId="1" xfId="0" applyNumberFormat="1" applyFont="1" applyBorder="1" applyAlignment="1">
      <alignment horizontal="centerContinuous" vertical="center"/>
    </xf>
    <xf numFmtId="177" fontId="20" fillId="0" borderId="1" xfId="1" applyNumberFormat="1" applyFont="1" applyBorder="1" applyAlignment="1">
      <alignment horizontal="center" vertical="center"/>
    </xf>
    <xf numFmtId="41" fontId="20" fillId="0" borderId="1" xfId="1" applyFont="1" applyBorder="1" applyAlignment="1">
      <alignment horizontal="center" vertical="center"/>
    </xf>
    <xf numFmtId="178" fontId="20" fillId="0" borderId="1" xfId="1" applyNumberFormat="1" applyFont="1" applyBorder="1" applyAlignment="1">
      <alignment horizontal="center" vertical="center"/>
    </xf>
    <xf numFmtId="0" fontId="22" fillId="0" borderId="0" xfId="0" applyFont="1" applyAlignment="1"/>
    <xf numFmtId="0" fontId="24" fillId="12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/>
    </xf>
    <xf numFmtId="0" fontId="24" fillId="13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0" fontId="22" fillId="0" borderId="1" xfId="0" applyFont="1" applyBorder="1">
      <alignment vertical="center"/>
    </xf>
    <xf numFmtId="0" fontId="22" fillId="0" borderId="0" xfId="0" applyFont="1" applyAlignment="1">
      <alignment horizontal="center" vertical="center"/>
    </xf>
    <xf numFmtId="178" fontId="22" fillId="0" borderId="0" xfId="0" applyNumberFormat="1" applyFont="1" applyAlignment="1"/>
    <xf numFmtId="176" fontId="26" fillId="0" borderId="0" xfId="0" applyNumberFormat="1" applyFont="1" applyAlignment="1">
      <alignment horizontal="centerContinuous" vertical="center"/>
    </xf>
    <xf numFmtId="0" fontId="27" fillId="0" borderId="1" xfId="0" applyFont="1" applyBorder="1" applyAlignment="1">
      <alignment horizontal="center" vertical="center" wrapText="1"/>
    </xf>
    <xf numFmtId="178" fontId="22" fillId="17" borderId="1" xfId="0" applyNumberFormat="1" applyFont="1" applyFill="1" applyBorder="1" applyAlignment="1">
      <alignment horizontal="center" vertical="center"/>
    </xf>
    <xf numFmtId="177" fontId="22" fillId="17" borderId="1" xfId="1" applyNumberFormat="1" applyFont="1" applyFill="1" applyBorder="1" applyAlignment="1">
      <alignment horizontal="center" vertical="center"/>
    </xf>
    <xf numFmtId="178" fontId="22" fillId="18" borderId="1" xfId="0" applyNumberFormat="1" applyFont="1" applyFill="1" applyBorder="1" applyAlignment="1">
      <alignment horizontal="center" vertical="center"/>
    </xf>
    <xf numFmtId="177" fontId="22" fillId="18" borderId="1" xfId="1" applyNumberFormat="1" applyFont="1" applyFill="1" applyBorder="1" applyAlignment="1">
      <alignment horizontal="center" vertical="center"/>
    </xf>
    <xf numFmtId="178" fontId="22" fillId="11" borderId="1" xfId="0" applyNumberFormat="1" applyFont="1" applyFill="1" applyBorder="1" applyAlignment="1">
      <alignment horizontal="center" vertical="center"/>
    </xf>
    <xf numFmtId="177" fontId="22" fillId="11" borderId="1" xfId="1" applyNumberFormat="1" applyFont="1" applyFill="1" applyBorder="1" applyAlignment="1">
      <alignment horizontal="center" vertical="center"/>
    </xf>
    <xf numFmtId="177" fontId="22" fillId="11" borderId="1" xfId="0" applyNumberFormat="1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177" fontId="22" fillId="19" borderId="1" xfId="0" applyNumberFormat="1" applyFont="1" applyFill="1" applyBorder="1" applyAlignment="1">
      <alignment horizontal="center" vertical="center"/>
    </xf>
    <xf numFmtId="178" fontId="22" fillId="19" borderId="1" xfId="0" applyNumberFormat="1" applyFont="1" applyFill="1" applyBorder="1" applyAlignment="1">
      <alignment horizontal="center" vertical="center"/>
    </xf>
    <xf numFmtId="177" fontId="22" fillId="19" borderId="1" xfId="1" applyNumberFormat="1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177" fontId="22" fillId="11" borderId="4" xfId="1" applyNumberFormat="1" applyFont="1" applyFill="1" applyBorder="1" applyAlignment="1">
      <alignment horizontal="center" vertical="center"/>
    </xf>
    <xf numFmtId="177" fontId="22" fillId="11" borderId="5" xfId="1" applyNumberFormat="1" applyFont="1" applyFill="1" applyBorder="1" applyAlignment="1">
      <alignment horizontal="center" vertical="center"/>
    </xf>
    <xf numFmtId="177" fontId="22" fillId="17" borderId="3" xfId="1" applyNumberFormat="1" applyFont="1" applyFill="1" applyBorder="1" applyAlignment="1">
      <alignment horizontal="center" vertical="center"/>
    </xf>
    <xf numFmtId="177" fontId="22" fillId="17" borderId="4" xfId="1" applyNumberFormat="1" applyFont="1" applyFill="1" applyBorder="1" applyAlignment="1">
      <alignment horizontal="center" vertical="center"/>
    </xf>
    <xf numFmtId="177" fontId="22" fillId="18" borderId="4" xfId="1" applyNumberFormat="1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0" fontId="22" fillId="19" borderId="4" xfId="0" applyFont="1" applyFill="1" applyBorder="1" applyAlignment="1">
      <alignment horizontal="center" vertical="center"/>
    </xf>
    <xf numFmtId="0" fontId="22" fillId="19" borderId="5" xfId="0" applyFont="1" applyFill="1" applyBorder="1" applyAlignment="1">
      <alignment horizontal="center" vertical="center"/>
    </xf>
  </cellXfs>
  <cellStyles count="4">
    <cellStyle name="40% - 강조색3 2" xfId="3" xr:uid="{3694E23B-0D84-4200-8C4D-FF6F44956E5B}"/>
    <cellStyle name="쉼표 [0]" xfId="1" builtinId="6"/>
    <cellStyle name="표준" xfId="0" builtinId="0"/>
    <cellStyle name="표준 2" xfId="2" xr:uid="{AAE617FF-64AC-4C8E-B73A-9A7A0FB7D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01C6-FC6D-497E-9B0F-6E823A75E1CB}">
  <dimension ref="A1:K34"/>
  <sheetViews>
    <sheetView topLeftCell="A18" zoomScaleNormal="100" zoomScaleSheetLayoutView="75" workbookViewId="0">
      <selection activeCell="B22" sqref="B22"/>
    </sheetView>
  </sheetViews>
  <sheetFormatPr defaultColWidth="8.88671875" defaultRowHeight="17.45"/>
  <cols>
    <col min="2" max="2" width="21.88671875" style="12" bestFit="1" customWidth="1"/>
    <col min="3" max="3" width="81" style="12" bestFit="1" customWidth="1"/>
    <col min="4" max="7" width="9.21875" style="12" customWidth="1"/>
    <col min="8" max="8" width="12.88671875" style="12" customWidth="1"/>
    <col min="9" max="10" width="8.88671875" customWidth="1"/>
  </cols>
  <sheetData>
    <row r="1" spans="1:11" ht="33.6" customHeight="1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08" customHeight="1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7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4" t="s">
        <v>12</v>
      </c>
    </row>
    <row r="4" spans="1:11">
      <c r="A4" s="16"/>
      <c r="B4" s="19" t="s">
        <v>13</v>
      </c>
      <c r="C4" s="20" t="s">
        <v>14</v>
      </c>
      <c r="D4" s="5">
        <v>90</v>
      </c>
      <c r="E4" s="5">
        <v>1</v>
      </c>
      <c r="F4" s="6">
        <v>1</v>
      </c>
      <c r="G4" s="7">
        <f t="shared" ref="G4:G33" si="0">H4/J4</f>
        <v>6</v>
      </c>
      <c r="H4" s="7">
        <f t="shared" ref="H4:H33" si="1">D4*F4</f>
        <v>90</v>
      </c>
      <c r="I4" s="5">
        <v>6</v>
      </c>
      <c r="J4" s="5">
        <v>15</v>
      </c>
      <c r="K4" s="5" t="s">
        <v>15</v>
      </c>
    </row>
    <row r="5" spans="1:11">
      <c r="A5" s="16"/>
      <c r="B5" s="19" t="s">
        <v>16</v>
      </c>
      <c r="C5" s="21" t="s">
        <v>17</v>
      </c>
      <c r="D5" s="5">
        <v>90</v>
      </c>
      <c r="E5" s="5">
        <v>1</v>
      </c>
      <c r="F5" s="7">
        <v>1</v>
      </c>
      <c r="G5" s="7">
        <f t="shared" si="0"/>
        <v>6</v>
      </c>
      <c r="H5" s="7">
        <f t="shared" si="1"/>
        <v>90</v>
      </c>
      <c r="I5" s="5">
        <v>6</v>
      </c>
      <c r="J5" s="5">
        <v>15</v>
      </c>
      <c r="K5" s="5" t="s">
        <v>15</v>
      </c>
    </row>
    <row r="6" spans="1:11">
      <c r="A6" s="16"/>
      <c r="B6" s="19" t="s">
        <v>18</v>
      </c>
      <c r="C6" s="22" t="s">
        <v>19</v>
      </c>
      <c r="D6" s="5">
        <v>90</v>
      </c>
      <c r="E6" s="5">
        <v>1</v>
      </c>
      <c r="F6" s="7">
        <v>1</v>
      </c>
      <c r="G6" s="7">
        <f t="shared" si="0"/>
        <v>6</v>
      </c>
      <c r="H6" s="7">
        <f t="shared" si="1"/>
        <v>90</v>
      </c>
      <c r="I6" s="5">
        <v>6</v>
      </c>
      <c r="J6" s="5">
        <v>15</v>
      </c>
      <c r="K6" s="5" t="s">
        <v>15</v>
      </c>
    </row>
    <row r="7" spans="1:11">
      <c r="A7" s="16"/>
      <c r="B7" s="19" t="s">
        <v>20</v>
      </c>
      <c r="C7" s="23" t="s">
        <v>21</v>
      </c>
      <c r="D7" s="5">
        <v>90</v>
      </c>
      <c r="E7" s="5">
        <v>1</v>
      </c>
      <c r="F7" s="7">
        <v>1</v>
      </c>
      <c r="G7" s="7">
        <f t="shared" ref="G7:G23" si="2">H7/J7</f>
        <v>6</v>
      </c>
      <c r="H7" s="7">
        <f t="shared" ref="H7:H23" si="3">D7*F7</f>
        <v>90</v>
      </c>
      <c r="I7" s="5">
        <v>6</v>
      </c>
      <c r="J7" s="5">
        <v>15</v>
      </c>
      <c r="K7" s="5" t="s">
        <v>15</v>
      </c>
    </row>
    <row r="8" spans="1:11">
      <c r="A8" s="16"/>
      <c r="B8" s="19" t="s">
        <v>22</v>
      </c>
      <c r="C8" s="24" t="s">
        <v>23</v>
      </c>
      <c r="D8" s="5">
        <v>90</v>
      </c>
      <c r="E8" s="5">
        <v>1</v>
      </c>
      <c r="F8" s="7">
        <v>1</v>
      </c>
      <c r="G8" s="7">
        <f t="shared" si="2"/>
        <v>6</v>
      </c>
      <c r="H8" s="7">
        <f t="shared" si="3"/>
        <v>90</v>
      </c>
      <c r="I8" s="5">
        <v>6</v>
      </c>
      <c r="J8" s="5">
        <v>15</v>
      </c>
      <c r="K8" s="5" t="s">
        <v>15</v>
      </c>
    </row>
    <row r="9" spans="1:11">
      <c r="A9" s="16"/>
      <c r="B9" s="19" t="s">
        <v>24</v>
      </c>
      <c r="C9" s="20" t="s">
        <v>25</v>
      </c>
      <c r="D9" s="5">
        <v>60</v>
      </c>
      <c r="E9" s="5">
        <v>1</v>
      </c>
      <c r="F9" s="7">
        <v>1</v>
      </c>
      <c r="G9" s="7">
        <f t="shared" si="2"/>
        <v>6</v>
      </c>
      <c r="H9" s="7">
        <f t="shared" si="3"/>
        <v>60</v>
      </c>
      <c r="I9" s="5">
        <v>6</v>
      </c>
      <c r="J9" s="5">
        <v>10</v>
      </c>
      <c r="K9" s="5" t="s">
        <v>15</v>
      </c>
    </row>
    <row r="10" spans="1:11">
      <c r="A10" s="16"/>
      <c r="B10" s="19" t="s">
        <v>26</v>
      </c>
      <c r="C10" s="21" t="s">
        <v>27</v>
      </c>
      <c r="D10" s="5">
        <v>60</v>
      </c>
      <c r="E10" s="5">
        <v>1</v>
      </c>
      <c r="F10" s="7">
        <v>1</v>
      </c>
      <c r="G10" s="7">
        <f t="shared" si="2"/>
        <v>6</v>
      </c>
      <c r="H10" s="7">
        <f t="shared" si="3"/>
        <v>60</v>
      </c>
      <c r="I10" s="5">
        <v>6</v>
      </c>
      <c r="J10" s="5">
        <v>10</v>
      </c>
      <c r="K10" s="5" t="s">
        <v>15</v>
      </c>
    </row>
    <row r="11" spans="1:11">
      <c r="A11" s="16"/>
      <c r="B11" s="19" t="s">
        <v>28</v>
      </c>
      <c r="C11" s="22" t="s">
        <v>29</v>
      </c>
      <c r="D11" s="5">
        <v>60</v>
      </c>
      <c r="E11" s="5">
        <v>1</v>
      </c>
      <c r="F11" s="7">
        <v>1</v>
      </c>
      <c r="G11" s="7">
        <f t="shared" si="2"/>
        <v>6</v>
      </c>
      <c r="H11" s="7">
        <f t="shared" si="3"/>
        <v>60</v>
      </c>
      <c r="I11" s="5">
        <v>6</v>
      </c>
      <c r="J11" s="5">
        <v>10</v>
      </c>
      <c r="K11" s="5" t="s">
        <v>15</v>
      </c>
    </row>
    <row r="12" spans="1:11">
      <c r="A12" s="16"/>
      <c r="B12" s="19" t="s">
        <v>30</v>
      </c>
      <c r="C12" s="23" t="s">
        <v>31</v>
      </c>
      <c r="D12" s="5">
        <v>60</v>
      </c>
      <c r="E12" s="5">
        <v>1</v>
      </c>
      <c r="F12" s="7">
        <v>1</v>
      </c>
      <c r="G12" s="7">
        <f t="shared" si="2"/>
        <v>6</v>
      </c>
      <c r="H12" s="7">
        <f t="shared" si="3"/>
        <v>60</v>
      </c>
      <c r="I12" s="5">
        <v>6</v>
      </c>
      <c r="J12" s="5">
        <v>10</v>
      </c>
      <c r="K12" s="5" t="s">
        <v>15</v>
      </c>
    </row>
    <row r="13" spans="1:11">
      <c r="A13" s="16"/>
      <c r="B13" s="19" t="s">
        <v>32</v>
      </c>
      <c r="C13" s="24" t="s">
        <v>33</v>
      </c>
      <c r="D13" s="5">
        <v>60</v>
      </c>
      <c r="E13" s="5">
        <v>1</v>
      </c>
      <c r="F13" s="7">
        <v>1</v>
      </c>
      <c r="G13" s="7">
        <f t="shared" si="2"/>
        <v>6</v>
      </c>
      <c r="H13" s="7">
        <f t="shared" si="3"/>
        <v>60</v>
      </c>
      <c r="I13" s="5">
        <v>6</v>
      </c>
      <c r="J13" s="5">
        <v>10</v>
      </c>
      <c r="K13" s="5" t="s">
        <v>15</v>
      </c>
    </row>
    <row r="14" spans="1:11">
      <c r="A14" s="17"/>
      <c r="B14" s="19" t="s">
        <v>34</v>
      </c>
      <c r="C14" s="25" t="s">
        <v>35</v>
      </c>
      <c r="D14" s="5">
        <v>90</v>
      </c>
      <c r="E14" s="5">
        <v>1</v>
      </c>
      <c r="F14" s="7">
        <v>2</v>
      </c>
      <c r="G14" s="7">
        <f t="shared" si="2"/>
        <v>12</v>
      </c>
      <c r="H14" s="7">
        <f t="shared" si="3"/>
        <v>180</v>
      </c>
      <c r="I14" s="5">
        <v>6</v>
      </c>
      <c r="J14" s="5">
        <v>15</v>
      </c>
      <c r="K14" s="5" t="s">
        <v>15</v>
      </c>
    </row>
    <row r="15" spans="1:11">
      <c r="A15" s="17"/>
      <c r="B15" s="19" t="s">
        <v>36</v>
      </c>
      <c r="C15" s="26" t="s">
        <v>37</v>
      </c>
      <c r="D15" s="5">
        <v>90</v>
      </c>
      <c r="E15" s="5">
        <v>1</v>
      </c>
      <c r="F15" s="7">
        <v>2</v>
      </c>
      <c r="G15" s="7">
        <f t="shared" si="2"/>
        <v>12</v>
      </c>
      <c r="H15" s="7">
        <f t="shared" si="3"/>
        <v>180</v>
      </c>
      <c r="I15" s="5">
        <v>6</v>
      </c>
      <c r="J15" s="5">
        <v>15</v>
      </c>
      <c r="K15" s="5" t="s">
        <v>15</v>
      </c>
    </row>
    <row r="16" spans="1:11">
      <c r="A16" s="17"/>
      <c r="B16" s="19" t="s">
        <v>38</v>
      </c>
      <c r="C16" s="27" t="s">
        <v>39</v>
      </c>
      <c r="D16" s="5">
        <v>90</v>
      </c>
      <c r="E16" s="5">
        <v>1</v>
      </c>
      <c r="F16" s="7">
        <v>2</v>
      </c>
      <c r="G16" s="7">
        <f t="shared" si="2"/>
        <v>12</v>
      </c>
      <c r="H16" s="7">
        <f t="shared" si="3"/>
        <v>180</v>
      </c>
      <c r="I16" s="5">
        <v>6</v>
      </c>
      <c r="J16" s="5">
        <v>15</v>
      </c>
      <c r="K16" s="5" t="s">
        <v>15</v>
      </c>
    </row>
    <row r="17" spans="1:11">
      <c r="A17" s="17"/>
      <c r="B17" s="19" t="s">
        <v>40</v>
      </c>
      <c r="C17" s="25" t="s">
        <v>41</v>
      </c>
      <c r="D17" s="5">
        <v>60</v>
      </c>
      <c r="E17" s="5">
        <v>1</v>
      </c>
      <c r="F17" s="7">
        <v>2</v>
      </c>
      <c r="G17" s="7">
        <f t="shared" si="2"/>
        <v>12</v>
      </c>
      <c r="H17" s="7">
        <f t="shared" si="3"/>
        <v>120</v>
      </c>
      <c r="I17" s="5">
        <v>6</v>
      </c>
      <c r="J17" s="5">
        <v>10</v>
      </c>
      <c r="K17" s="5" t="s">
        <v>15</v>
      </c>
    </row>
    <row r="18" spans="1:11">
      <c r="A18" s="17"/>
      <c r="B18" s="19" t="s">
        <v>42</v>
      </c>
      <c r="C18" s="26" t="s">
        <v>43</v>
      </c>
      <c r="D18" s="5">
        <v>60</v>
      </c>
      <c r="E18" s="5">
        <v>1</v>
      </c>
      <c r="F18" s="7">
        <v>2</v>
      </c>
      <c r="G18" s="7">
        <f t="shared" si="2"/>
        <v>12</v>
      </c>
      <c r="H18" s="7">
        <f t="shared" si="3"/>
        <v>120</v>
      </c>
      <c r="I18" s="5">
        <v>6</v>
      </c>
      <c r="J18" s="5">
        <v>10</v>
      </c>
      <c r="K18" s="5" t="s">
        <v>15</v>
      </c>
    </row>
    <row r="19" spans="1:11">
      <c r="A19" s="16"/>
      <c r="B19" s="19" t="s">
        <v>44</v>
      </c>
      <c r="C19" s="27" t="s">
        <v>45</v>
      </c>
      <c r="D19" s="5">
        <v>60</v>
      </c>
      <c r="E19" s="5">
        <v>1</v>
      </c>
      <c r="F19" s="6">
        <v>2</v>
      </c>
      <c r="G19" s="7">
        <f t="shared" si="2"/>
        <v>12</v>
      </c>
      <c r="H19" s="7">
        <f t="shared" si="3"/>
        <v>120</v>
      </c>
      <c r="I19" s="5">
        <v>6</v>
      </c>
      <c r="J19" s="5">
        <v>10</v>
      </c>
      <c r="K19" s="5" t="s">
        <v>15</v>
      </c>
    </row>
    <row r="20" spans="1:11">
      <c r="A20" s="16"/>
      <c r="B20" s="19" t="s">
        <v>46</v>
      </c>
      <c r="C20" s="23" t="s">
        <v>47</v>
      </c>
      <c r="D20" s="5">
        <v>60</v>
      </c>
      <c r="E20" s="5">
        <v>1</v>
      </c>
      <c r="F20" s="7">
        <v>1</v>
      </c>
      <c r="G20" s="7">
        <f t="shared" si="2"/>
        <v>6</v>
      </c>
      <c r="H20" s="7">
        <f t="shared" si="3"/>
        <v>60</v>
      </c>
      <c r="I20" s="5">
        <v>6</v>
      </c>
      <c r="J20" s="5">
        <v>10</v>
      </c>
      <c r="K20" s="5" t="s">
        <v>15</v>
      </c>
    </row>
    <row r="21" spans="1:11">
      <c r="A21" s="16"/>
      <c r="B21" s="19" t="s">
        <v>48</v>
      </c>
      <c r="C21" s="28" t="s">
        <v>49</v>
      </c>
      <c r="D21" s="5">
        <v>60</v>
      </c>
      <c r="E21" s="5">
        <v>1</v>
      </c>
      <c r="F21" s="7">
        <v>1</v>
      </c>
      <c r="G21" s="7">
        <f t="shared" si="2"/>
        <v>6</v>
      </c>
      <c r="H21" s="7">
        <f t="shared" si="3"/>
        <v>60</v>
      </c>
      <c r="I21" s="5">
        <v>6</v>
      </c>
      <c r="J21" s="5">
        <v>10</v>
      </c>
      <c r="K21" s="5" t="s">
        <v>15</v>
      </c>
    </row>
    <row r="22" spans="1:11">
      <c r="A22" s="16"/>
      <c r="B22" s="29" t="s">
        <v>50</v>
      </c>
      <c r="C22" s="30" t="s">
        <v>51</v>
      </c>
      <c r="D22" s="5">
        <v>30</v>
      </c>
      <c r="E22" s="5">
        <v>1</v>
      </c>
      <c r="F22" s="7">
        <v>2</v>
      </c>
      <c r="G22" s="7">
        <f t="shared" si="2"/>
        <v>4</v>
      </c>
      <c r="H22" s="7">
        <f t="shared" si="3"/>
        <v>60</v>
      </c>
      <c r="I22" s="5">
        <v>2</v>
      </c>
      <c r="J22" s="5">
        <v>15</v>
      </c>
      <c r="K22" s="5" t="s">
        <v>15</v>
      </c>
    </row>
    <row r="23" spans="1:11">
      <c r="A23" s="16"/>
      <c r="B23" s="29" t="s">
        <v>52</v>
      </c>
      <c r="C23" s="31" t="s">
        <v>53</v>
      </c>
      <c r="D23" s="5">
        <v>30</v>
      </c>
      <c r="E23" s="5">
        <v>1</v>
      </c>
      <c r="F23" s="7">
        <v>2</v>
      </c>
      <c r="G23" s="7">
        <f t="shared" si="2"/>
        <v>4</v>
      </c>
      <c r="H23" s="7">
        <f t="shared" si="3"/>
        <v>60</v>
      </c>
      <c r="I23" s="5">
        <v>2</v>
      </c>
      <c r="J23" s="5">
        <v>15</v>
      </c>
      <c r="K23" s="5" t="s">
        <v>15</v>
      </c>
    </row>
    <row r="24" spans="1:11">
      <c r="A24" s="16"/>
      <c r="B24" s="29" t="s">
        <v>54</v>
      </c>
      <c r="C24" s="32" t="s">
        <v>55</v>
      </c>
      <c r="D24" s="5">
        <v>30</v>
      </c>
      <c r="E24" s="5">
        <v>1</v>
      </c>
      <c r="F24" s="7">
        <v>2</v>
      </c>
      <c r="G24" s="7">
        <f t="shared" si="0"/>
        <v>4</v>
      </c>
      <c r="H24" s="7">
        <f t="shared" si="1"/>
        <v>60</v>
      </c>
      <c r="I24" s="5">
        <v>2</v>
      </c>
      <c r="J24" s="5">
        <v>15</v>
      </c>
      <c r="K24" s="5" t="s">
        <v>15</v>
      </c>
    </row>
    <row r="25" spans="1:11">
      <c r="A25" s="16"/>
      <c r="B25" s="29" t="s">
        <v>56</v>
      </c>
      <c r="C25" s="33" t="s">
        <v>57</v>
      </c>
      <c r="D25" s="5">
        <v>30</v>
      </c>
      <c r="E25" s="5">
        <v>1</v>
      </c>
      <c r="F25" s="7">
        <v>2</v>
      </c>
      <c r="G25" s="7">
        <f t="shared" si="0"/>
        <v>4</v>
      </c>
      <c r="H25" s="7">
        <f t="shared" si="1"/>
        <v>60</v>
      </c>
      <c r="I25" s="5">
        <v>2</v>
      </c>
      <c r="J25" s="5">
        <v>15</v>
      </c>
      <c r="K25" s="5" t="s">
        <v>15</v>
      </c>
    </row>
    <row r="26" spans="1:11">
      <c r="A26" s="16"/>
      <c r="B26" s="29" t="s">
        <v>58</v>
      </c>
      <c r="C26" s="32" t="s">
        <v>59</v>
      </c>
      <c r="D26" s="5">
        <v>30</v>
      </c>
      <c r="E26" s="5">
        <v>1</v>
      </c>
      <c r="F26" s="7">
        <v>2</v>
      </c>
      <c r="G26" s="7">
        <f t="shared" si="0"/>
        <v>4</v>
      </c>
      <c r="H26" s="7">
        <f t="shared" si="1"/>
        <v>60</v>
      </c>
      <c r="I26" s="5">
        <v>2</v>
      </c>
      <c r="J26" s="5">
        <v>15</v>
      </c>
      <c r="K26" s="5" t="s">
        <v>15</v>
      </c>
    </row>
    <row r="27" spans="1:11">
      <c r="A27" s="16"/>
      <c r="B27" s="29" t="s">
        <v>60</v>
      </c>
      <c r="C27" s="30" t="s">
        <v>61</v>
      </c>
      <c r="D27" s="5">
        <v>60</v>
      </c>
      <c r="E27" s="5">
        <v>1</v>
      </c>
      <c r="F27" s="7">
        <v>2</v>
      </c>
      <c r="G27" s="7">
        <f t="shared" si="0"/>
        <v>12</v>
      </c>
      <c r="H27" s="7">
        <f t="shared" si="1"/>
        <v>120</v>
      </c>
      <c r="I27" s="5">
        <v>6</v>
      </c>
      <c r="J27" s="5">
        <v>10</v>
      </c>
      <c r="K27" s="5" t="s">
        <v>15</v>
      </c>
    </row>
    <row r="28" spans="1:11">
      <c r="A28" s="16"/>
      <c r="B28" s="29" t="s">
        <v>62</v>
      </c>
      <c r="C28" s="31" t="s">
        <v>63</v>
      </c>
      <c r="D28" s="5">
        <v>60</v>
      </c>
      <c r="E28" s="5">
        <v>1</v>
      </c>
      <c r="F28" s="7">
        <v>2</v>
      </c>
      <c r="G28" s="7">
        <f t="shared" si="0"/>
        <v>12</v>
      </c>
      <c r="H28" s="7">
        <f t="shared" si="1"/>
        <v>120</v>
      </c>
      <c r="I28" s="5">
        <v>6</v>
      </c>
      <c r="J28" s="5">
        <v>10</v>
      </c>
      <c r="K28" s="5" t="s">
        <v>15</v>
      </c>
    </row>
    <row r="29" spans="1:11">
      <c r="A29" s="16"/>
      <c r="B29" s="29" t="s">
        <v>64</v>
      </c>
      <c r="C29" s="32" t="s">
        <v>65</v>
      </c>
      <c r="D29" s="5">
        <v>60</v>
      </c>
      <c r="E29" s="5">
        <v>1</v>
      </c>
      <c r="F29" s="7">
        <v>2</v>
      </c>
      <c r="G29" s="7">
        <f t="shared" si="0"/>
        <v>12</v>
      </c>
      <c r="H29" s="7">
        <f t="shared" si="1"/>
        <v>120</v>
      </c>
      <c r="I29" s="5">
        <v>6</v>
      </c>
      <c r="J29" s="5">
        <v>10</v>
      </c>
      <c r="K29" s="5" t="s">
        <v>15</v>
      </c>
    </row>
    <row r="30" spans="1:11">
      <c r="A30" s="16"/>
      <c r="B30" s="29" t="s">
        <v>66</v>
      </c>
      <c r="C30" s="33" t="s">
        <v>67</v>
      </c>
      <c r="D30" s="5">
        <v>60</v>
      </c>
      <c r="E30" s="5">
        <v>1</v>
      </c>
      <c r="F30" s="7">
        <v>2</v>
      </c>
      <c r="G30" s="7">
        <f t="shared" si="0"/>
        <v>12</v>
      </c>
      <c r="H30" s="7">
        <f t="shared" si="1"/>
        <v>120</v>
      </c>
      <c r="I30" s="5">
        <v>6</v>
      </c>
      <c r="J30" s="5">
        <v>10</v>
      </c>
      <c r="K30" s="5" t="s">
        <v>15</v>
      </c>
    </row>
    <row r="31" spans="1:11">
      <c r="A31" s="17"/>
      <c r="B31" s="29" t="s">
        <v>68</v>
      </c>
      <c r="C31" s="32" t="s">
        <v>69</v>
      </c>
      <c r="D31" s="5">
        <v>60</v>
      </c>
      <c r="E31" s="5">
        <v>1</v>
      </c>
      <c r="F31" s="7">
        <v>2</v>
      </c>
      <c r="G31" s="7">
        <f t="shared" si="0"/>
        <v>12</v>
      </c>
      <c r="H31" s="7">
        <f t="shared" si="1"/>
        <v>120</v>
      </c>
      <c r="I31" s="5">
        <v>6</v>
      </c>
      <c r="J31" s="5">
        <v>10</v>
      </c>
      <c r="K31" s="5" t="s">
        <v>15</v>
      </c>
    </row>
    <row r="32" spans="1:11">
      <c r="A32" s="17"/>
      <c r="B32" s="19" t="s">
        <v>70</v>
      </c>
      <c r="C32" s="34" t="s">
        <v>71</v>
      </c>
      <c r="D32" s="5">
        <v>120</v>
      </c>
      <c r="E32" s="5">
        <v>1</v>
      </c>
      <c r="F32" s="7">
        <v>1</v>
      </c>
      <c r="G32" s="7">
        <f t="shared" si="0"/>
        <v>6</v>
      </c>
      <c r="H32" s="7">
        <f t="shared" si="1"/>
        <v>120</v>
      </c>
      <c r="I32" s="5">
        <v>6</v>
      </c>
      <c r="J32" s="5">
        <v>20</v>
      </c>
      <c r="K32" s="5" t="s">
        <v>15</v>
      </c>
    </row>
    <row r="33" spans="1:11">
      <c r="A33" s="17"/>
      <c r="B33" s="19" t="s">
        <v>72</v>
      </c>
      <c r="C33" s="34" t="s">
        <v>73</v>
      </c>
      <c r="D33" s="5">
        <v>120</v>
      </c>
      <c r="E33" s="5">
        <v>1</v>
      </c>
      <c r="F33" s="7">
        <v>1</v>
      </c>
      <c r="G33" s="7">
        <f t="shared" si="0"/>
        <v>6</v>
      </c>
      <c r="H33" s="7">
        <f t="shared" si="1"/>
        <v>120</v>
      </c>
      <c r="I33" s="5">
        <v>6</v>
      </c>
      <c r="J33" s="5">
        <v>20</v>
      </c>
      <c r="K33" s="5" t="s">
        <v>15</v>
      </c>
    </row>
    <row r="34" spans="1:11">
      <c r="A34" s="8" t="s">
        <v>74</v>
      </c>
      <c r="B34" s="8"/>
      <c r="C34" s="8"/>
      <c r="D34" s="9"/>
      <c r="E34" s="10"/>
      <c r="F34" s="11">
        <f>SUM(F4:F33)</f>
        <v>46</v>
      </c>
      <c r="G34" s="11">
        <f>SUM(G4:G33)</f>
        <v>236</v>
      </c>
      <c r="H34" s="11">
        <f>SUM(H4:H33)</f>
        <v>2910</v>
      </c>
      <c r="I34" s="9"/>
      <c r="J34" s="9"/>
      <c r="K34" s="9"/>
    </row>
  </sheetData>
  <autoFilter ref="A3:J33" xr:uid="{00000000-0001-0000-0100-000000000000}">
    <sortState xmlns:xlrd2="http://schemas.microsoft.com/office/spreadsheetml/2017/richdata2" ref="A4:J33">
      <sortCondition ref="A3:A33"/>
    </sortState>
  </autoFilter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3D9C-5EA4-443D-8EF6-27B500720A62}">
  <sheetPr>
    <tabColor rgb="FFFF0000"/>
  </sheetPr>
  <dimension ref="A1:M21"/>
  <sheetViews>
    <sheetView tabSelected="1" workbookViewId="0">
      <selection activeCell="C17" sqref="C17"/>
    </sheetView>
  </sheetViews>
  <sheetFormatPr defaultColWidth="8.88671875" defaultRowHeight="13.5"/>
  <cols>
    <col min="1" max="1" width="8.88671875" style="36"/>
    <col min="2" max="2" width="23.88671875" style="60" customWidth="1"/>
    <col min="3" max="3" width="81" style="60" bestFit="1" customWidth="1"/>
    <col min="4" max="6" width="9.21875" style="60" customWidth="1"/>
    <col min="7" max="7" width="9.21875" style="60" hidden="1" customWidth="1"/>
    <col min="8" max="8" width="12.88671875" style="60" hidden="1" customWidth="1"/>
    <col min="9" max="10" width="0" style="36" hidden="1" customWidth="1"/>
    <col min="11" max="16384" width="8.88671875" style="36"/>
  </cols>
  <sheetData>
    <row r="1" spans="1:13" ht="33.6" customHeight="1">
      <c r="A1" s="35" t="s">
        <v>75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4.95" customHeight="1">
      <c r="A2" s="37" t="s">
        <v>2</v>
      </c>
      <c r="B2" s="37" t="s">
        <v>3</v>
      </c>
      <c r="C2" s="37" t="s">
        <v>4</v>
      </c>
      <c r="D2" s="38" t="s">
        <v>5</v>
      </c>
      <c r="E2" s="38" t="s">
        <v>6</v>
      </c>
      <c r="F2" s="39" t="s">
        <v>7</v>
      </c>
      <c r="G2" s="39" t="s">
        <v>8</v>
      </c>
      <c r="H2" s="39" t="s">
        <v>9</v>
      </c>
      <c r="I2" s="40" t="s">
        <v>10</v>
      </c>
      <c r="J2" s="40" t="s">
        <v>11</v>
      </c>
      <c r="K2" s="40" t="s">
        <v>76</v>
      </c>
      <c r="L2" s="40" t="s">
        <v>77</v>
      </c>
      <c r="M2" s="40" t="s">
        <v>78</v>
      </c>
    </row>
    <row r="3" spans="1:13" ht="21.95" customHeight="1">
      <c r="A3" s="41"/>
      <c r="B3" s="42" t="s">
        <v>16</v>
      </c>
      <c r="C3" s="43" t="s">
        <v>17</v>
      </c>
      <c r="D3" s="44">
        <v>90</v>
      </c>
      <c r="E3" s="44">
        <v>1</v>
      </c>
      <c r="F3" s="71">
        <v>1</v>
      </c>
      <c r="G3" s="71">
        <f t="shared" ref="G3:G17" si="0">H3/J3</f>
        <v>6</v>
      </c>
      <c r="H3" s="71">
        <f t="shared" ref="H3:H17" si="1">D3*F3</f>
        <v>90</v>
      </c>
      <c r="I3" s="72">
        <v>6</v>
      </c>
      <c r="J3" s="72">
        <v>15</v>
      </c>
      <c r="K3" s="72">
        <v>1</v>
      </c>
      <c r="L3" s="85">
        <v>1</v>
      </c>
      <c r="M3" s="44" t="s">
        <v>15</v>
      </c>
    </row>
    <row r="4" spans="1:13" ht="21.95" customHeight="1">
      <c r="A4" s="41"/>
      <c r="B4" s="42" t="s">
        <v>18</v>
      </c>
      <c r="C4" s="45" t="s">
        <v>19</v>
      </c>
      <c r="D4" s="44">
        <v>90</v>
      </c>
      <c r="E4" s="44">
        <v>1</v>
      </c>
      <c r="F4" s="71">
        <v>1</v>
      </c>
      <c r="G4" s="71">
        <f t="shared" si="0"/>
        <v>6</v>
      </c>
      <c r="H4" s="71">
        <f t="shared" si="1"/>
        <v>90</v>
      </c>
      <c r="I4" s="72">
        <v>6</v>
      </c>
      <c r="J4" s="72">
        <v>15</v>
      </c>
      <c r="K4" s="72">
        <v>2</v>
      </c>
      <c r="L4" s="86"/>
      <c r="M4" s="44" t="s">
        <v>15</v>
      </c>
    </row>
    <row r="5" spans="1:13" ht="21.95" customHeight="1">
      <c r="A5" s="41"/>
      <c r="B5" s="42" t="s">
        <v>26</v>
      </c>
      <c r="C5" s="43" t="s">
        <v>27</v>
      </c>
      <c r="D5" s="44">
        <v>60</v>
      </c>
      <c r="E5" s="44">
        <v>1</v>
      </c>
      <c r="F5" s="71">
        <v>1</v>
      </c>
      <c r="G5" s="71">
        <f t="shared" si="0"/>
        <v>6</v>
      </c>
      <c r="H5" s="71">
        <f t="shared" si="1"/>
        <v>60</v>
      </c>
      <c r="I5" s="72">
        <v>6</v>
      </c>
      <c r="J5" s="72">
        <v>10</v>
      </c>
      <c r="K5" s="72">
        <v>3</v>
      </c>
      <c r="L5" s="86"/>
      <c r="M5" s="44" t="s">
        <v>15</v>
      </c>
    </row>
    <row r="6" spans="1:13" ht="21.95" customHeight="1">
      <c r="A6" s="41"/>
      <c r="B6" s="42" t="s">
        <v>28</v>
      </c>
      <c r="C6" s="45" t="s">
        <v>29</v>
      </c>
      <c r="D6" s="44">
        <v>60</v>
      </c>
      <c r="E6" s="44">
        <v>1</v>
      </c>
      <c r="F6" s="71">
        <v>1</v>
      </c>
      <c r="G6" s="71">
        <f t="shared" si="0"/>
        <v>6</v>
      </c>
      <c r="H6" s="71">
        <f t="shared" si="1"/>
        <v>60</v>
      </c>
      <c r="I6" s="72">
        <v>6</v>
      </c>
      <c r="J6" s="72">
        <v>10</v>
      </c>
      <c r="K6" s="72">
        <v>4</v>
      </c>
      <c r="L6" s="86"/>
      <c r="M6" s="44" t="s">
        <v>15</v>
      </c>
    </row>
    <row r="7" spans="1:13" ht="21.95" customHeight="1">
      <c r="A7" s="46"/>
      <c r="B7" s="42" t="s">
        <v>34</v>
      </c>
      <c r="C7" s="47" t="s">
        <v>35</v>
      </c>
      <c r="D7" s="44">
        <v>90</v>
      </c>
      <c r="E7" s="44">
        <v>1</v>
      </c>
      <c r="F7" s="71">
        <v>2</v>
      </c>
      <c r="G7" s="71">
        <f t="shared" si="0"/>
        <v>12</v>
      </c>
      <c r="H7" s="71">
        <f t="shared" si="1"/>
        <v>180</v>
      </c>
      <c r="I7" s="72">
        <v>6</v>
      </c>
      <c r="J7" s="72">
        <v>15</v>
      </c>
      <c r="K7" s="72" t="s">
        <v>79</v>
      </c>
      <c r="L7" s="86"/>
      <c r="M7" s="44" t="s">
        <v>15</v>
      </c>
    </row>
    <row r="8" spans="1:13" ht="21.95" customHeight="1">
      <c r="A8" s="46"/>
      <c r="B8" s="42" t="s">
        <v>36</v>
      </c>
      <c r="C8" s="48" t="s">
        <v>37</v>
      </c>
      <c r="D8" s="44">
        <v>90</v>
      </c>
      <c r="E8" s="44">
        <v>1</v>
      </c>
      <c r="F8" s="71">
        <v>2</v>
      </c>
      <c r="G8" s="71">
        <f t="shared" si="0"/>
        <v>12</v>
      </c>
      <c r="H8" s="71">
        <f t="shared" si="1"/>
        <v>180</v>
      </c>
      <c r="I8" s="72">
        <v>6</v>
      </c>
      <c r="J8" s="72">
        <v>15</v>
      </c>
      <c r="K8" s="72" t="s">
        <v>80</v>
      </c>
      <c r="L8" s="86"/>
      <c r="M8" s="44" t="s">
        <v>15</v>
      </c>
    </row>
    <row r="9" spans="1:13" ht="21.95" customHeight="1">
      <c r="A9" s="46"/>
      <c r="B9" s="42" t="s">
        <v>40</v>
      </c>
      <c r="C9" s="47" t="s">
        <v>41</v>
      </c>
      <c r="D9" s="44">
        <v>60</v>
      </c>
      <c r="E9" s="44">
        <v>1</v>
      </c>
      <c r="F9" s="73">
        <v>2</v>
      </c>
      <c r="G9" s="73">
        <f t="shared" si="0"/>
        <v>12</v>
      </c>
      <c r="H9" s="73">
        <f t="shared" si="1"/>
        <v>120</v>
      </c>
      <c r="I9" s="74">
        <v>6</v>
      </c>
      <c r="J9" s="74">
        <v>10</v>
      </c>
      <c r="K9" s="74" t="s">
        <v>81</v>
      </c>
      <c r="L9" s="87">
        <v>2</v>
      </c>
      <c r="M9" s="44" t="s">
        <v>15</v>
      </c>
    </row>
    <row r="10" spans="1:13" ht="21.95" customHeight="1">
      <c r="A10" s="46"/>
      <c r="B10" s="42" t="s">
        <v>42</v>
      </c>
      <c r="C10" s="48" t="s">
        <v>43</v>
      </c>
      <c r="D10" s="44">
        <v>60</v>
      </c>
      <c r="E10" s="44">
        <v>1</v>
      </c>
      <c r="F10" s="73">
        <v>2</v>
      </c>
      <c r="G10" s="73">
        <f t="shared" si="0"/>
        <v>12</v>
      </c>
      <c r="H10" s="73">
        <f t="shared" si="1"/>
        <v>120</v>
      </c>
      <c r="I10" s="74">
        <v>6</v>
      </c>
      <c r="J10" s="74">
        <v>10</v>
      </c>
      <c r="K10" s="74" t="s">
        <v>82</v>
      </c>
      <c r="L10" s="87"/>
      <c r="M10" s="44" t="s">
        <v>15</v>
      </c>
    </row>
    <row r="11" spans="1:13" ht="21.95" customHeight="1">
      <c r="A11" s="41"/>
      <c r="B11" s="42" t="s">
        <v>46</v>
      </c>
      <c r="C11" s="49" t="s">
        <v>47</v>
      </c>
      <c r="D11" s="44">
        <v>60</v>
      </c>
      <c r="E11" s="44">
        <v>1</v>
      </c>
      <c r="F11" s="73">
        <v>1</v>
      </c>
      <c r="G11" s="73">
        <f t="shared" si="0"/>
        <v>6</v>
      </c>
      <c r="H11" s="73">
        <f t="shared" si="1"/>
        <v>60</v>
      </c>
      <c r="I11" s="74">
        <v>6</v>
      </c>
      <c r="J11" s="74">
        <v>10</v>
      </c>
      <c r="K11" s="74">
        <v>13</v>
      </c>
      <c r="L11" s="87"/>
      <c r="M11" s="44" t="s">
        <v>15</v>
      </c>
    </row>
    <row r="12" spans="1:13" ht="21.95" customHeight="1">
      <c r="A12" s="41"/>
      <c r="B12" s="42" t="s">
        <v>48</v>
      </c>
      <c r="C12" s="50" t="s">
        <v>49</v>
      </c>
      <c r="D12" s="44">
        <v>60</v>
      </c>
      <c r="E12" s="44">
        <v>1</v>
      </c>
      <c r="F12" s="73">
        <v>1</v>
      </c>
      <c r="G12" s="73">
        <f t="shared" si="0"/>
        <v>6</v>
      </c>
      <c r="H12" s="73">
        <f t="shared" si="1"/>
        <v>60</v>
      </c>
      <c r="I12" s="74">
        <v>6</v>
      </c>
      <c r="J12" s="74">
        <v>10</v>
      </c>
      <c r="K12" s="74">
        <v>14</v>
      </c>
      <c r="L12" s="87"/>
      <c r="M12" s="44" t="s">
        <v>15</v>
      </c>
    </row>
    <row r="13" spans="1:13" ht="21.95" customHeight="1">
      <c r="A13" s="41"/>
      <c r="B13" s="51" t="s">
        <v>60</v>
      </c>
      <c r="C13" s="52" t="s">
        <v>61</v>
      </c>
      <c r="D13" s="44">
        <v>60</v>
      </c>
      <c r="E13" s="44">
        <v>1</v>
      </c>
      <c r="F13" s="73">
        <v>2</v>
      </c>
      <c r="G13" s="73">
        <f>H13/J13</f>
        <v>12</v>
      </c>
      <c r="H13" s="73">
        <f>D13*F13</f>
        <v>120</v>
      </c>
      <c r="I13" s="74">
        <v>6</v>
      </c>
      <c r="J13" s="74">
        <v>10</v>
      </c>
      <c r="K13" s="74" t="s">
        <v>83</v>
      </c>
      <c r="L13" s="87"/>
      <c r="M13" s="44" t="s">
        <v>15</v>
      </c>
    </row>
    <row r="14" spans="1:13" ht="21.95" customHeight="1">
      <c r="A14" s="41"/>
      <c r="B14" s="51" t="s">
        <v>62</v>
      </c>
      <c r="C14" s="53" t="s">
        <v>63</v>
      </c>
      <c r="D14" s="44">
        <v>60</v>
      </c>
      <c r="E14" s="44">
        <v>1</v>
      </c>
      <c r="F14" s="75">
        <v>2</v>
      </c>
      <c r="G14" s="75">
        <f t="shared" si="0"/>
        <v>12</v>
      </c>
      <c r="H14" s="75">
        <f t="shared" si="1"/>
        <v>120</v>
      </c>
      <c r="I14" s="76">
        <v>6</v>
      </c>
      <c r="J14" s="76">
        <v>10</v>
      </c>
      <c r="K14" s="76" t="s">
        <v>84</v>
      </c>
      <c r="L14" s="83">
        <v>3</v>
      </c>
      <c r="M14" s="44" t="s">
        <v>15</v>
      </c>
    </row>
    <row r="15" spans="1:13" ht="21.95" customHeight="1">
      <c r="A15" s="41"/>
      <c r="B15" s="51" t="s">
        <v>64</v>
      </c>
      <c r="C15" s="54" t="s">
        <v>65</v>
      </c>
      <c r="D15" s="44">
        <v>60</v>
      </c>
      <c r="E15" s="44">
        <v>1</v>
      </c>
      <c r="F15" s="75">
        <v>2</v>
      </c>
      <c r="G15" s="75">
        <f t="shared" si="0"/>
        <v>12</v>
      </c>
      <c r="H15" s="75">
        <f t="shared" si="1"/>
        <v>120</v>
      </c>
      <c r="I15" s="76">
        <v>6</v>
      </c>
      <c r="J15" s="76">
        <v>10</v>
      </c>
      <c r="K15" s="76" t="s">
        <v>85</v>
      </c>
      <c r="L15" s="83"/>
      <c r="M15" s="44" t="s">
        <v>15</v>
      </c>
    </row>
    <row r="16" spans="1:13" ht="21.95" customHeight="1">
      <c r="A16" s="46"/>
      <c r="B16" s="42" t="s">
        <v>70</v>
      </c>
      <c r="C16" s="55" t="s">
        <v>71</v>
      </c>
      <c r="D16" s="44">
        <v>120</v>
      </c>
      <c r="E16" s="44">
        <v>1</v>
      </c>
      <c r="F16" s="75">
        <v>1</v>
      </c>
      <c r="G16" s="75">
        <f t="shared" si="0"/>
        <v>6</v>
      </c>
      <c r="H16" s="75">
        <f t="shared" si="1"/>
        <v>120</v>
      </c>
      <c r="I16" s="76">
        <v>6</v>
      </c>
      <c r="J16" s="76">
        <v>20</v>
      </c>
      <c r="K16" s="76">
        <v>21</v>
      </c>
      <c r="L16" s="83"/>
      <c r="M16" s="44" t="s">
        <v>15</v>
      </c>
    </row>
    <row r="17" spans="1:13" ht="21.95" customHeight="1">
      <c r="A17" s="46"/>
      <c r="B17" s="42" t="s">
        <v>72</v>
      </c>
      <c r="C17" s="55" t="s">
        <v>73</v>
      </c>
      <c r="D17" s="44">
        <v>120</v>
      </c>
      <c r="E17" s="44">
        <v>1</v>
      </c>
      <c r="F17" s="75">
        <v>1</v>
      </c>
      <c r="G17" s="75">
        <f t="shared" si="0"/>
        <v>6</v>
      </c>
      <c r="H17" s="75">
        <f t="shared" si="1"/>
        <v>120</v>
      </c>
      <c r="I17" s="76">
        <v>6</v>
      </c>
      <c r="J17" s="76">
        <v>20</v>
      </c>
      <c r="K17" s="76">
        <v>22</v>
      </c>
      <c r="L17" s="83"/>
      <c r="M17" s="44" t="s">
        <v>15</v>
      </c>
    </row>
    <row r="18" spans="1:13" ht="21.95" customHeight="1">
      <c r="A18" s="70" t="s">
        <v>86</v>
      </c>
      <c r="B18" s="51" t="s">
        <v>50</v>
      </c>
      <c r="C18" s="52" t="s">
        <v>51</v>
      </c>
      <c r="D18" s="44">
        <v>30</v>
      </c>
      <c r="E18" s="44">
        <v>1</v>
      </c>
      <c r="F18" s="75">
        <v>2</v>
      </c>
      <c r="G18" s="75">
        <f>H18/J18</f>
        <v>4</v>
      </c>
      <c r="H18" s="75">
        <f>D18*F18</f>
        <v>60</v>
      </c>
      <c r="I18" s="76">
        <v>2</v>
      </c>
      <c r="J18" s="76">
        <v>15</v>
      </c>
      <c r="K18" s="76" t="s">
        <v>87</v>
      </c>
      <c r="L18" s="83"/>
      <c r="M18" s="44" t="s">
        <v>15</v>
      </c>
    </row>
    <row r="19" spans="1:13" ht="21.95" customHeight="1">
      <c r="A19" s="70" t="s">
        <v>86</v>
      </c>
      <c r="B19" s="51" t="s">
        <v>52</v>
      </c>
      <c r="C19" s="53" t="s">
        <v>53</v>
      </c>
      <c r="D19" s="44">
        <v>30</v>
      </c>
      <c r="E19" s="44">
        <v>1</v>
      </c>
      <c r="F19" s="75">
        <v>2</v>
      </c>
      <c r="G19" s="75">
        <f>H19/J19</f>
        <v>4</v>
      </c>
      <c r="H19" s="75">
        <f>D19*F19</f>
        <v>60</v>
      </c>
      <c r="I19" s="76">
        <v>2</v>
      </c>
      <c r="J19" s="76">
        <v>15</v>
      </c>
      <c r="K19" s="76" t="s">
        <v>88</v>
      </c>
      <c r="L19" s="83"/>
      <c r="M19" s="44" t="s">
        <v>15</v>
      </c>
    </row>
    <row r="20" spans="1:13" ht="21.95" customHeight="1">
      <c r="A20" s="70" t="s">
        <v>86</v>
      </c>
      <c r="B20" s="51" t="s">
        <v>54</v>
      </c>
      <c r="C20" s="54" t="s">
        <v>55</v>
      </c>
      <c r="D20" s="44">
        <v>30</v>
      </c>
      <c r="E20" s="44">
        <v>1</v>
      </c>
      <c r="F20" s="75">
        <v>2</v>
      </c>
      <c r="G20" s="75">
        <f>H20/J20</f>
        <v>4</v>
      </c>
      <c r="H20" s="75">
        <f>D20*F20</f>
        <v>60</v>
      </c>
      <c r="I20" s="76">
        <v>2</v>
      </c>
      <c r="J20" s="76">
        <v>15</v>
      </c>
      <c r="K20" s="76" t="s">
        <v>89</v>
      </c>
      <c r="L20" s="84"/>
      <c r="M20" s="44" t="s">
        <v>15</v>
      </c>
    </row>
    <row r="21" spans="1:13" ht="21.95" customHeight="1">
      <c r="A21" s="56" t="s">
        <v>74</v>
      </c>
      <c r="B21" s="56"/>
      <c r="C21" s="56"/>
      <c r="D21" s="57"/>
      <c r="E21" s="58"/>
      <c r="F21" s="59">
        <f>SUM(F3:F20)</f>
        <v>28</v>
      </c>
      <c r="G21" s="59">
        <f>SUM(G3:G17)</f>
        <v>132</v>
      </c>
      <c r="H21" s="59">
        <f>SUM(H3:H17)</f>
        <v>1620</v>
      </c>
      <c r="I21" s="57"/>
      <c r="J21" s="57"/>
      <c r="K21" s="57"/>
      <c r="L21" s="57"/>
      <c r="M21" s="57"/>
    </row>
  </sheetData>
  <mergeCells count="3">
    <mergeCell ref="L14:L20"/>
    <mergeCell ref="L3:L8"/>
    <mergeCell ref="L9:L1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430B-A17E-478F-9FC4-EB6CB85CE95C}">
  <sheetPr>
    <tabColor rgb="FFFFFF00"/>
  </sheetPr>
  <dimension ref="A1:M17"/>
  <sheetViews>
    <sheetView zoomScaleNormal="100" zoomScaleSheetLayoutView="75" workbookViewId="0">
      <selection activeCell="E19" sqref="E19"/>
    </sheetView>
  </sheetViews>
  <sheetFormatPr defaultColWidth="8.88671875" defaultRowHeight="13.5"/>
  <cols>
    <col min="1" max="1" width="8.88671875" style="36"/>
    <col min="2" max="2" width="21.88671875" style="60" bestFit="1" customWidth="1"/>
    <col min="3" max="3" width="81" style="60" bestFit="1" customWidth="1"/>
    <col min="4" max="6" width="9.21875" style="60" customWidth="1"/>
    <col min="7" max="7" width="9.21875" style="60" hidden="1" customWidth="1"/>
    <col min="8" max="8" width="12.88671875" style="60" hidden="1" customWidth="1"/>
    <col min="9" max="10" width="8.88671875" style="36" hidden="1" customWidth="1"/>
    <col min="11" max="11" width="0" style="36" hidden="1" customWidth="1"/>
    <col min="12" max="16384" width="8.88671875" style="36"/>
  </cols>
  <sheetData>
    <row r="1" spans="1:13" ht="33.6" customHeight="1">
      <c r="A1" s="69" t="s">
        <v>90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3" ht="27">
      <c r="A2" s="37" t="s">
        <v>2</v>
      </c>
      <c r="B2" s="37" t="s">
        <v>3</v>
      </c>
      <c r="C2" s="37" t="s">
        <v>4</v>
      </c>
      <c r="D2" s="38" t="s">
        <v>5</v>
      </c>
      <c r="E2" s="38" t="s">
        <v>6</v>
      </c>
      <c r="F2" s="39" t="s">
        <v>7</v>
      </c>
      <c r="G2" s="39" t="s">
        <v>8</v>
      </c>
      <c r="H2" s="39" t="s">
        <v>9</v>
      </c>
      <c r="I2" s="40" t="s">
        <v>10</v>
      </c>
      <c r="J2" s="40" t="s">
        <v>11</v>
      </c>
      <c r="K2" s="40" t="s">
        <v>78</v>
      </c>
      <c r="L2" s="40" t="s">
        <v>76</v>
      </c>
      <c r="M2" s="40" t="s">
        <v>77</v>
      </c>
    </row>
    <row r="3" spans="1:13" ht="21.95" customHeight="1">
      <c r="A3" s="41"/>
      <c r="B3" s="42" t="s">
        <v>13</v>
      </c>
      <c r="C3" s="61" t="s">
        <v>14</v>
      </c>
      <c r="D3" s="44">
        <v>90</v>
      </c>
      <c r="E3" s="44">
        <v>1</v>
      </c>
      <c r="F3" s="77">
        <v>1</v>
      </c>
      <c r="G3" s="75">
        <f t="shared" ref="G3:G12" si="0">H3/J3</f>
        <v>6</v>
      </c>
      <c r="H3" s="75">
        <f t="shared" ref="H3:H12" si="1">D3*F3</f>
        <v>90</v>
      </c>
      <c r="I3" s="76">
        <v>6</v>
      </c>
      <c r="J3" s="76">
        <v>15</v>
      </c>
      <c r="K3" s="76" t="s">
        <v>15</v>
      </c>
      <c r="L3" s="78">
        <v>1</v>
      </c>
      <c r="M3" s="88">
        <v>1</v>
      </c>
    </row>
    <row r="4" spans="1:13" ht="21.95" customHeight="1">
      <c r="A4" s="41"/>
      <c r="B4" s="42" t="s">
        <v>20</v>
      </c>
      <c r="C4" s="49" t="s">
        <v>21</v>
      </c>
      <c r="D4" s="44">
        <v>90</v>
      </c>
      <c r="E4" s="44">
        <v>1</v>
      </c>
      <c r="F4" s="75">
        <v>1</v>
      </c>
      <c r="G4" s="75">
        <f t="shared" si="0"/>
        <v>6</v>
      </c>
      <c r="H4" s="75">
        <f t="shared" si="1"/>
        <v>90</v>
      </c>
      <c r="I4" s="76">
        <v>6</v>
      </c>
      <c r="J4" s="76">
        <v>15</v>
      </c>
      <c r="K4" s="76" t="s">
        <v>15</v>
      </c>
      <c r="L4" s="78">
        <v>2</v>
      </c>
      <c r="M4" s="89"/>
    </row>
    <row r="5" spans="1:13" ht="21.95" customHeight="1">
      <c r="A5" s="41"/>
      <c r="B5" s="42" t="s">
        <v>22</v>
      </c>
      <c r="C5" s="63" t="s">
        <v>23</v>
      </c>
      <c r="D5" s="44">
        <v>90</v>
      </c>
      <c r="E5" s="44">
        <v>1</v>
      </c>
      <c r="F5" s="75">
        <v>1</v>
      </c>
      <c r="G5" s="75">
        <f t="shared" si="0"/>
        <v>6</v>
      </c>
      <c r="H5" s="75">
        <f t="shared" si="1"/>
        <v>90</v>
      </c>
      <c r="I5" s="76">
        <v>6</v>
      </c>
      <c r="J5" s="76">
        <v>15</v>
      </c>
      <c r="K5" s="76" t="s">
        <v>15</v>
      </c>
      <c r="L5" s="78">
        <v>3</v>
      </c>
      <c r="M5" s="89"/>
    </row>
    <row r="6" spans="1:13" ht="21.95" customHeight="1">
      <c r="A6" s="41"/>
      <c r="B6" s="42" t="s">
        <v>24</v>
      </c>
      <c r="C6" s="61" t="s">
        <v>25</v>
      </c>
      <c r="D6" s="44">
        <v>60</v>
      </c>
      <c r="E6" s="44">
        <v>1</v>
      </c>
      <c r="F6" s="75">
        <v>1</v>
      </c>
      <c r="G6" s="75">
        <f t="shared" si="0"/>
        <v>6</v>
      </c>
      <c r="H6" s="75">
        <f t="shared" si="1"/>
        <v>60</v>
      </c>
      <c r="I6" s="76">
        <v>6</v>
      </c>
      <c r="J6" s="76">
        <v>10</v>
      </c>
      <c r="K6" s="76" t="s">
        <v>15</v>
      </c>
      <c r="L6" s="78">
        <v>4</v>
      </c>
      <c r="M6" s="89"/>
    </row>
    <row r="7" spans="1:13" ht="21.95" customHeight="1">
      <c r="A7" s="41"/>
      <c r="B7" s="42" t="s">
        <v>30</v>
      </c>
      <c r="C7" s="49" t="s">
        <v>31</v>
      </c>
      <c r="D7" s="44">
        <v>60</v>
      </c>
      <c r="E7" s="44">
        <v>1</v>
      </c>
      <c r="F7" s="75">
        <v>1</v>
      </c>
      <c r="G7" s="75">
        <f t="shared" si="0"/>
        <v>6</v>
      </c>
      <c r="H7" s="75">
        <f t="shared" si="1"/>
        <v>60</v>
      </c>
      <c r="I7" s="76">
        <v>6</v>
      </c>
      <c r="J7" s="76">
        <v>10</v>
      </c>
      <c r="K7" s="76" t="s">
        <v>15</v>
      </c>
      <c r="L7" s="78">
        <v>5</v>
      </c>
      <c r="M7" s="89"/>
    </row>
    <row r="8" spans="1:13" ht="21.95" customHeight="1">
      <c r="A8" s="41"/>
      <c r="B8" s="42" t="s">
        <v>32</v>
      </c>
      <c r="C8" s="63" t="s">
        <v>33</v>
      </c>
      <c r="D8" s="44">
        <v>60</v>
      </c>
      <c r="E8" s="44">
        <v>1</v>
      </c>
      <c r="F8" s="75">
        <v>1</v>
      </c>
      <c r="G8" s="75">
        <f t="shared" si="0"/>
        <v>6</v>
      </c>
      <c r="H8" s="75">
        <f t="shared" si="1"/>
        <v>60</v>
      </c>
      <c r="I8" s="76">
        <v>6</v>
      </c>
      <c r="J8" s="76">
        <v>10</v>
      </c>
      <c r="K8" s="76" t="s">
        <v>15</v>
      </c>
      <c r="L8" s="78">
        <v>6</v>
      </c>
      <c r="M8" s="89"/>
    </row>
    <row r="9" spans="1:13" ht="21.95" customHeight="1">
      <c r="A9" s="46"/>
      <c r="B9" s="42" t="s">
        <v>38</v>
      </c>
      <c r="C9" s="64" t="s">
        <v>39</v>
      </c>
      <c r="D9" s="44">
        <v>90</v>
      </c>
      <c r="E9" s="44">
        <v>1</v>
      </c>
      <c r="F9" s="75">
        <v>2</v>
      </c>
      <c r="G9" s="75">
        <f t="shared" si="0"/>
        <v>12</v>
      </c>
      <c r="H9" s="75">
        <f t="shared" si="1"/>
        <v>180</v>
      </c>
      <c r="I9" s="76">
        <v>6</v>
      </c>
      <c r="J9" s="76">
        <v>15</v>
      </c>
      <c r="K9" s="76" t="s">
        <v>15</v>
      </c>
      <c r="L9" s="78" t="s">
        <v>80</v>
      </c>
      <c r="M9" s="90"/>
    </row>
    <row r="10" spans="1:13" ht="21.95" customHeight="1">
      <c r="A10" s="41"/>
      <c r="B10" s="42" t="s">
        <v>44</v>
      </c>
      <c r="C10" s="64" t="s">
        <v>45</v>
      </c>
      <c r="D10" s="44">
        <v>60</v>
      </c>
      <c r="E10" s="44">
        <v>1</v>
      </c>
      <c r="F10" s="79">
        <v>2</v>
      </c>
      <c r="G10" s="80">
        <f t="shared" si="0"/>
        <v>12</v>
      </c>
      <c r="H10" s="80">
        <f t="shared" si="1"/>
        <v>120</v>
      </c>
      <c r="I10" s="81">
        <v>6</v>
      </c>
      <c r="J10" s="81">
        <v>10</v>
      </c>
      <c r="K10" s="81" t="s">
        <v>15</v>
      </c>
      <c r="L10" s="82" t="s">
        <v>81</v>
      </c>
      <c r="M10" s="91">
        <v>2</v>
      </c>
    </row>
    <row r="11" spans="1:13" ht="21.95" customHeight="1">
      <c r="A11" s="41"/>
      <c r="B11" s="51" t="s">
        <v>66</v>
      </c>
      <c r="C11" s="65" t="s">
        <v>67</v>
      </c>
      <c r="D11" s="44">
        <v>60</v>
      </c>
      <c r="E11" s="44">
        <v>1</v>
      </c>
      <c r="F11" s="80">
        <v>2</v>
      </c>
      <c r="G11" s="80">
        <f t="shared" si="0"/>
        <v>12</v>
      </c>
      <c r="H11" s="80">
        <f t="shared" si="1"/>
        <v>120</v>
      </c>
      <c r="I11" s="81">
        <v>6</v>
      </c>
      <c r="J11" s="81">
        <v>10</v>
      </c>
      <c r="K11" s="81" t="s">
        <v>15</v>
      </c>
      <c r="L11" s="82" t="s">
        <v>82</v>
      </c>
      <c r="M11" s="92"/>
    </row>
    <row r="12" spans="1:13" ht="21.95" customHeight="1">
      <c r="A12" s="46"/>
      <c r="B12" s="51" t="s">
        <v>68</v>
      </c>
      <c r="C12" s="54" t="s">
        <v>69</v>
      </c>
      <c r="D12" s="44">
        <v>60</v>
      </c>
      <c r="E12" s="44">
        <v>1</v>
      </c>
      <c r="F12" s="80">
        <v>2</v>
      </c>
      <c r="G12" s="80">
        <f t="shared" si="0"/>
        <v>12</v>
      </c>
      <c r="H12" s="80">
        <f t="shared" si="1"/>
        <v>120</v>
      </c>
      <c r="I12" s="81">
        <v>6</v>
      </c>
      <c r="J12" s="81">
        <v>10</v>
      </c>
      <c r="K12" s="81" t="s">
        <v>15</v>
      </c>
      <c r="L12" s="82" t="s">
        <v>91</v>
      </c>
      <c r="M12" s="92"/>
    </row>
    <row r="13" spans="1:13" ht="21.95" customHeight="1">
      <c r="A13" s="70" t="s">
        <v>86</v>
      </c>
      <c r="B13" s="51" t="s">
        <v>56</v>
      </c>
      <c r="C13" s="65" t="s">
        <v>57</v>
      </c>
      <c r="D13" s="44">
        <v>30</v>
      </c>
      <c r="E13" s="44">
        <v>1</v>
      </c>
      <c r="F13" s="80">
        <v>2</v>
      </c>
      <c r="G13" s="80">
        <f>H13/J13</f>
        <v>4</v>
      </c>
      <c r="H13" s="80">
        <f>D13*F13</f>
        <v>60</v>
      </c>
      <c r="I13" s="81">
        <v>2</v>
      </c>
      <c r="J13" s="81">
        <v>15</v>
      </c>
      <c r="K13" s="81" t="s">
        <v>15</v>
      </c>
      <c r="L13" s="82" t="s">
        <v>83</v>
      </c>
      <c r="M13" s="92"/>
    </row>
    <row r="14" spans="1:13" ht="21.95" customHeight="1">
      <c r="A14" s="70" t="s">
        <v>86</v>
      </c>
      <c r="B14" s="51" t="s">
        <v>58</v>
      </c>
      <c r="C14" s="54" t="s">
        <v>59</v>
      </c>
      <c r="D14" s="44">
        <v>30</v>
      </c>
      <c r="E14" s="44">
        <v>1</v>
      </c>
      <c r="F14" s="80">
        <v>2</v>
      </c>
      <c r="G14" s="80">
        <f>H14/J14</f>
        <v>4</v>
      </c>
      <c r="H14" s="80">
        <f>D14*F14</f>
        <v>60</v>
      </c>
      <c r="I14" s="81">
        <v>2</v>
      </c>
      <c r="J14" s="81">
        <v>15</v>
      </c>
      <c r="K14" s="81" t="s">
        <v>15</v>
      </c>
      <c r="L14" s="82" t="s">
        <v>84</v>
      </c>
      <c r="M14" s="93"/>
    </row>
    <row r="15" spans="1:13" ht="21.95" customHeight="1">
      <c r="A15" s="56" t="s">
        <v>74</v>
      </c>
      <c r="B15" s="56"/>
      <c r="C15" s="56"/>
      <c r="D15" s="57"/>
      <c r="E15" s="58"/>
      <c r="F15" s="59">
        <f>SUM(F3:F14)</f>
        <v>18</v>
      </c>
      <c r="G15" s="59">
        <f>SUM(G3:G12)</f>
        <v>84</v>
      </c>
      <c r="H15" s="59">
        <f>SUM(H3:H12)</f>
        <v>990</v>
      </c>
      <c r="I15" s="57"/>
      <c r="J15" s="57"/>
      <c r="K15" s="57"/>
      <c r="L15" s="62"/>
      <c r="M15" s="66"/>
    </row>
    <row r="16" spans="1:13">
      <c r="L16" s="67"/>
    </row>
    <row r="17" spans="6:8">
      <c r="F17" s="68"/>
      <c r="G17" s="68"/>
      <c r="H17" s="68"/>
    </row>
  </sheetData>
  <autoFilter ref="A2:J12" xr:uid="{00000000-0001-0000-0100-000000000000}">
    <sortState xmlns:xlrd2="http://schemas.microsoft.com/office/spreadsheetml/2017/richdata2" ref="A3:J12">
      <sortCondition ref="A2:A12"/>
    </sortState>
  </autoFilter>
  <mergeCells count="2">
    <mergeCell ref="M3:M9"/>
    <mergeCell ref="M10:M14"/>
  </mergeCells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H3680</dc:creator>
  <cp:keywords/>
  <dc:description/>
  <cp:lastModifiedBy>Yamaguchi Kazuki</cp:lastModifiedBy>
  <cp:revision/>
  <dcterms:created xsi:type="dcterms:W3CDTF">2025-12-23T08:08:25Z</dcterms:created>
  <dcterms:modified xsi:type="dcterms:W3CDTF">2026-03-12T08:00:01Z</dcterms:modified>
  <cp:category/>
  <cp:contentStatus/>
</cp:coreProperties>
</file>